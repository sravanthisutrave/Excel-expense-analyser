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an\OneDrive\Documents\"/>
    </mc:Choice>
  </mc:AlternateContent>
  <xr:revisionPtr revIDLastSave="0" documentId="13_ncr:1_{383C4860-8F38-490F-BDF6-1BB446D43BFB}" xr6:coauthVersionLast="47" xr6:coauthVersionMax="47" xr10:uidLastSave="{00000000-0000-0000-0000-000000000000}"/>
  <bookViews>
    <workbookView xWindow="0" yWindow="0" windowWidth="19200" windowHeight="10800" xr2:uid="{074C3230-BE89-4324-B455-B731B24AD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3" i="1"/>
  <c r="D2" i="1"/>
  <c r="C9" i="1"/>
  <c r="C2" i="1"/>
  <c r="B9" i="1"/>
  <c r="C8" i="1"/>
  <c r="C7" i="1"/>
  <c r="C6" i="1"/>
  <c r="C5" i="1"/>
  <c r="C4" i="1"/>
  <c r="C3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<sst xmlns="http://schemas.openxmlformats.org/spreadsheetml/2006/main" count="12" uniqueCount="12">
  <si>
    <t xml:space="preserve">Category </t>
  </si>
  <si>
    <t>planned amount(₹)</t>
  </si>
  <si>
    <t>Actual amount(₹)</t>
  </si>
  <si>
    <t>Difference</t>
  </si>
  <si>
    <t>rent</t>
  </si>
  <si>
    <t>food</t>
  </si>
  <si>
    <t>travel</t>
  </si>
  <si>
    <t>mobile/internet</t>
  </si>
  <si>
    <t>education</t>
  </si>
  <si>
    <t>entertainment</t>
  </si>
  <si>
    <t>miscellaneous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</si>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</sst>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dk1"/>
                </a:solidFill>
                <a:latin typeface="+mn-lt"/>
                <a:ea typeface="+mn-ea"/>
                <a:cs typeface="+mn-cs"/>
              </a:rPr>
              <a:t>"Actual</a:t>
            </a:r>
            <a:r>
              <a:rPr lang="en-IN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monthly expenses by category"</a:t>
            </a:r>
            <a:endParaRPr lang="en-IN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explosion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6E-4252-8B57-E872C6502A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6E-4252-8B57-E872C6502A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6E-4252-8B57-E872C6502A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6E-4252-8B57-E872C6502A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F6E-4252-8B57-E872C6502A7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F6E-4252-8B57-E872C6502A7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F6E-4252-8B57-E872C6502A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Sheet1!$A$2:$A$8</c:f>
              <c:strCache>
                <c:ptCount val="7"/>
                <c:pt idx="0">
                  <c:v>rent</c:v>
                </c:pt>
                <c:pt idx="1">
                  <c:v>food</c:v>
                </c:pt>
                <c:pt idx="2">
                  <c:v>travel</c:v>
                </c:pt>
                <c:pt idx="3">
                  <c:v>mobile/internet</c:v>
                </c:pt>
                <c:pt idx="4">
                  <c:v>education</c:v>
                </c:pt>
                <c:pt idx="5">
                  <c:v>entertainment</c:v>
                </c:pt>
                <c:pt idx="6">
                  <c:v>miscellaneous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3000</c:v>
                </c:pt>
                <c:pt idx="1">
                  <c:v>2800</c:v>
                </c:pt>
                <c:pt idx="2">
                  <c:v>900</c:v>
                </c:pt>
                <c:pt idx="3">
                  <c:v>500</c:v>
                </c:pt>
                <c:pt idx="4">
                  <c:v>2200</c:v>
                </c:pt>
                <c:pt idx="5">
                  <c:v>600</c:v>
                </c:pt>
                <c:pt idx="6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C-4D1B-803F-EF47E711E7C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9</xdr:row>
      <xdr:rowOff>76200</xdr:rowOff>
    </xdr:from>
    <xdr:to>
      <xdr:col>4</xdr:col>
      <xdr:colOff>25400</xdr:colOff>
      <xdr:row>20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9747F3-C29E-DBCC-3451-F904FE329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9CED-5F8E-4AC9-AEF7-C881E2B58DBF}">
  <dimension ref="A1:D9"/>
  <sheetViews>
    <sheetView tabSelected="1" workbookViewId="0">
      <selection activeCell="G14" sqref="G14"/>
    </sheetView>
  </sheetViews>
  <sheetFormatPr defaultRowHeight="14.5" x14ac:dyDescent="0.35"/>
  <cols>
    <col min="1" max="1" width="16.6328125" customWidth="1"/>
    <col min="2" max="2" width="16.81640625" customWidth="1"/>
    <col min="3" max="3" width="16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f>3000</f>
        <v>3000</v>
      </c>
      <c r="C2">
        <f>3000</f>
        <v>3000</v>
      </c>
      <c r="D2">
        <f>B2-C2</f>
        <v>0</v>
      </c>
    </row>
    <row r="3" spans="1:4" x14ac:dyDescent="0.35">
      <c r="A3" t="s">
        <v>5</v>
      </c>
      <c r="B3">
        <f>2500</f>
        <v>2500</v>
      </c>
      <c r="C3">
        <f>2800</f>
        <v>2800</v>
      </c>
      <c r="D3">
        <f>B3-C3</f>
        <v>-300</v>
      </c>
    </row>
    <row r="4" spans="1:4" x14ac:dyDescent="0.35">
      <c r="A4" t="s">
        <v>6</v>
      </c>
      <c r="B4">
        <f>1000</f>
        <v>1000</v>
      </c>
      <c r="C4">
        <f>900</f>
        <v>900</v>
      </c>
      <c r="D4">
        <f t="shared" ref="D4:D9" si="0">B4-C4</f>
        <v>100</v>
      </c>
    </row>
    <row r="5" spans="1:4" x14ac:dyDescent="0.35">
      <c r="A5" t="s">
        <v>7</v>
      </c>
      <c r="B5">
        <f>500</f>
        <v>500</v>
      </c>
      <c r="C5">
        <f>500</f>
        <v>500</v>
      </c>
      <c r="D5">
        <f t="shared" si="0"/>
        <v>0</v>
      </c>
    </row>
    <row r="6" spans="1:4" x14ac:dyDescent="0.35">
      <c r="A6" t="s">
        <v>8</v>
      </c>
      <c r="B6">
        <f>2000</f>
        <v>2000</v>
      </c>
      <c r="C6">
        <f>2200</f>
        <v>2200</v>
      </c>
      <c r="D6">
        <f t="shared" si="0"/>
        <v>-200</v>
      </c>
    </row>
    <row r="7" spans="1:4" x14ac:dyDescent="0.35">
      <c r="A7" t="s">
        <v>9</v>
      </c>
      <c r="B7">
        <f>700</f>
        <v>700</v>
      </c>
      <c r="C7">
        <f>600</f>
        <v>600</v>
      </c>
      <c r="D7">
        <f t="shared" si="0"/>
        <v>100</v>
      </c>
    </row>
    <row r="8" spans="1:4" x14ac:dyDescent="0.35">
      <c r="A8" t="s">
        <v>10</v>
      </c>
      <c r="B8">
        <f>300</f>
        <v>300</v>
      </c>
      <c r="C8">
        <f>500</f>
        <v>500</v>
      </c>
      <c r="D8">
        <f t="shared" si="0"/>
        <v>-200</v>
      </c>
    </row>
    <row r="9" spans="1:4" x14ac:dyDescent="0.35">
      <c r="A9" t="s">
        <v>11</v>
      </c>
      <c r="B9">
        <f>SUM(B2:B8)</f>
        <v>10000</v>
      </c>
      <c r="C9">
        <f>SUM(C2:C8)</f>
        <v>10500</v>
      </c>
      <c r="D9">
        <f t="shared" si="0"/>
        <v>-500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sutrave</dc:creator>
  <cp:lastModifiedBy>pavan sutrave</cp:lastModifiedBy>
  <dcterms:created xsi:type="dcterms:W3CDTF">2025-05-01T09:38:02Z</dcterms:created>
  <dcterms:modified xsi:type="dcterms:W3CDTF">2025-05-01T10:21:33Z</dcterms:modified>
</cp:coreProperties>
</file>